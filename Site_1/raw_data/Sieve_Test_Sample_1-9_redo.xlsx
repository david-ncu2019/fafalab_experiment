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n Vo\Downloads\"/>
    </mc:Choice>
  </mc:AlternateContent>
  <xr:revisionPtr revIDLastSave="0" documentId="13_ncr:1_{DD35D995-BB49-4528-985C-C68F9B8090CD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ieve Analy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H8" i="1"/>
  <c r="H7" i="1"/>
  <c r="D3" i="1"/>
  <c r="E3" i="1" s="1"/>
  <c r="D4" i="1" l="1"/>
  <c r="D5" i="1" l="1"/>
  <c r="E4" i="1"/>
  <c r="D6" i="1" l="1"/>
  <c r="E5" i="1"/>
  <c r="E6" i="1" l="1"/>
  <c r="D7" i="1"/>
  <c r="D8" i="1" l="1"/>
  <c r="E7" i="1"/>
  <c r="E8" i="1" l="1"/>
  <c r="D9" i="1"/>
  <c r="E9" i="1" l="1"/>
  <c r="D10" i="1"/>
  <c r="D11" i="1" l="1"/>
  <c r="E10" i="1"/>
  <c r="D12" i="1" l="1"/>
  <c r="E11" i="1"/>
  <c r="D13" i="1" l="1"/>
  <c r="E13" i="1" s="1"/>
  <c r="E12" i="1"/>
</calcChain>
</file>

<file path=xl/sharedStrings.xml><?xml version="1.0" encoding="utf-8"?>
<sst xmlns="http://schemas.openxmlformats.org/spreadsheetml/2006/main" count="25" uniqueCount="25">
  <si>
    <t>Sieve Number</t>
  </si>
  <si>
    <t>Diameter (mm)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</si>
  <si>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</si>
  <si>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</si>
  <si>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</si>
  <si>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</si>
  <si>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</si>
  <si>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</si>
  <si>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</si>
  <si>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</si>
  <si>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</si>
  <si>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</si>
  <si>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Cum. Retained (g)</t>
  </si>
  <si>
    <t>% Passing (%)</t>
  </si>
  <si>
    <t>Total Mass:</t>
  </si>
  <si>
    <t>D60 (mm)</t>
  </si>
  <si>
    <t>D30 (mm)</t>
  </si>
  <si>
    <t>D10 (mm)</t>
  </si>
  <si>
    <t>Mass of Sieve (g)</t>
  </si>
  <si>
    <r>
      <t>Uniformity Coefficient (</t>
    </r>
    <r>
      <rPr>
        <sz val="11"/>
        <color theme="1"/>
        <rFont val="Arial"/>
        <family val="2"/>
      </rPr>
      <t>Cu</t>
    </r>
    <r>
      <rPr>
        <sz val="11"/>
        <color theme="1"/>
        <rFont val="Calibri"/>
        <family val="2"/>
        <scheme val="minor"/>
      </rPr>
      <t>):</t>
    </r>
  </si>
  <si>
    <r>
      <t>Curvature Coefficient (</t>
    </r>
    <r>
      <rPr>
        <sz val="11"/>
        <color theme="1"/>
        <rFont val="Arial"/>
        <family val="2"/>
      </rPr>
      <t>Cc</t>
    </r>
    <r>
      <rPr>
        <sz val="11"/>
        <color theme="1"/>
        <rFont val="Calibri"/>
        <family val="2"/>
        <scheme val="minor"/>
      </rPr>
      <t>)</t>
    </r>
  </si>
  <si>
    <t>&lt;200</t>
  </si>
  <si>
    <t>&lt;0.074</t>
  </si>
  <si>
    <t>Sorting Coeff</t>
  </si>
  <si>
    <t>poorly 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</si>
</sst>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164" fontId="0" fillId="0" borderId="2" xfId="0" applyNumberFormat="1" applyBorder="1"/>
    <xf numFmtId="0" fontId="0" fillId="3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'Sieve Analysis'!$B$3:$B$12</c:f>
              <c:numCache>
                <c:formatCode>General</c:formatCode>
                <c:ptCount val="10"/>
                <c:pt idx="0">
                  <c:v>4.76</c:v>
                </c:pt>
                <c:pt idx="1">
                  <c:v>2</c:v>
                </c:pt>
                <c:pt idx="2">
                  <c:v>0.84</c:v>
                </c:pt>
                <c:pt idx="3">
                  <c:v>0.59</c:v>
                </c:pt>
                <c:pt idx="4">
                  <c:v>0.42</c:v>
                </c:pt>
                <c:pt idx="5">
                  <c:v>0.29699999999999999</c:v>
                </c:pt>
                <c:pt idx="6">
                  <c:v>0.25</c:v>
                </c:pt>
                <c:pt idx="7">
                  <c:v>0.17699999999999999</c:v>
                </c:pt>
                <c:pt idx="8">
                  <c:v>0.14899999999999999</c:v>
                </c:pt>
                <c:pt idx="9">
                  <c:v>7.3999999999999996E-2</c:v>
                </c:pt>
              </c:numCache>
            </c:numRef>
          </c:xVal>
          <c:yVal>
            <c:numRef>
              <c:f>'Sieve Analysis'!$E$3:$E$12</c:f>
              <c:numCache>
                <c:formatCode>0.000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99.694913893460722</c:v>
                </c:pt>
                <c:pt idx="3">
                  <c:v>99.357713459917306</c:v>
                </c:pt>
                <c:pt idx="4">
                  <c:v>99.193127534021116</c:v>
                </c:pt>
                <c:pt idx="5">
                  <c:v>98.79972702822046</c:v>
                </c:pt>
                <c:pt idx="6">
                  <c:v>98.58295532094256</c:v>
                </c:pt>
                <c:pt idx="7">
                  <c:v>95.034322186985662</c:v>
                </c:pt>
                <c:pt idx="8">
                  <c:v>92.826462205451406</c:v>
                </c:pt>
                <c:pt idx="9">
                  <c:v>62.305808678896874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07-4684-8B3D-081604912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610495"/>
        <c:axId val="648609535"/>
      </c:scatterChart>
      <c:valAx>
        <c:axId val="648610495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8609535"/>
        <c:crosses val="autoZero"/>
        <c:crossBetween val="midCat"/>
      </c:valAx>
      <c:valAx>
        <c:axId val="64860953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48610495"/>
        <c:crossesAt val="1.0000000000000002E-3"/>
        <c:crossBetween val="midCat"/>
        <c:majorUnit val="20"/>
      </c:valAx>
      <c:spPr>
        <a:noFill/>
        <a:ln w="15875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</xdr:colOff>
      <xdr:row>11</xdr:row>
      <xdr:rowOff>33337</xdr:rowOff>
    </xdr:from>
    <xdr:to>
      <xdr:col>12</xdr:col>
      <xdr:colOff>9525</xdr:colOff>
      <xdr:row>25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6649F3-B97E-6390-1658-90D9C373C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18</xdr:row>
      <xdr:rowOff>180975</xdr:rowOff>
    </xdr:from>
    <xdr:to>
      <xdr:col>6</xdr:col>
      <xdr:colOff>1800225</xdr:colOff>
      <xdr:row>21</xdr:row>
      <xdr:rowOff>95250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9AC8C21-2E93-4644-F257-D307B10DA966}"/>
            </a:ext>
          </a:extLst>
        </xdr:cNvPr>
        <xdr:cNvSpPr txBox="1"/>
      </xdr:nvSpPr>
      <xdr:spPr>
        <a:xfrm>
          <a:off x="6467475" y="3609975"/>
          <a:ext cx="1257300" cy="485775"/>
        </a:xfrm>
        <a:prstGeom prst="rect">
          <a:avLst/>
        </a:prstGeom>
        <a:solidFill>
          <a:schemeClr val="bg1">
            <a:lumMod val="65000"/>
            <a:alpha val="56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aseline="0"/>
            <a:t>Silt &amp; Clay</a:t>
          </a:r>
          <a:br>
            <a:rPr lang="en-US" sz="1200" baseline="0"/>
          </a:br>
          <a:r>
            <a:rPr lang="en-US" sz="1200" baseline="0"/>
            <a:t> (&lt;0.074): </a:t>
          </a:r>
          <a:r>
            <a:rPr lang="en-US" sz="1200" b="1" baseline="0"/>
            <a:t>62.3%</a:t>
          </a:r>
        </a:p>
      </xdr:txBody>
    </xdr:sp>
    <xdr:clientData/>
  </xdr:twoCellAnchor>
  <xdr:twoCellAnchor>
    <xdr:from>
      <xdr:col>6</xdr:col>
      <xdr:colOff>1800225</xdr:colOff>
      <xdr:row>18</xdr:row>
      <xdr:rowOff>171451</xdr:rowOff>
    </xdr:from>
    <xdr:to>
      <xdr:col>11</xdr:col>
      <xdr:colOff>19050</xdr:colOff>
      <xdr:row>21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5A5C20A-B0C7-4140-B621-A74B4F75A276}"/>
            </a:ext>
          </a:extLst>
        </xdr:cNvPr>
        <xdr:cNvSpPr txBox="1"/>
      </xdr:nvSpPr>
      <xdr:spPr>
        <a:xfrm>
          <a:off x="7724775" y="3600451"/>
          <a:ext cx="2867025" cy="485774"/>
        </a:xfrm>
        <a:prstGeom prst="rect">
          <a:avLst/>
        </a:prstGeom>
        <a:solidFill>
          <a:srgbClr val="FFFF00">
            <a:alpha val="27000"/>
          </a:srgb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/>
            <a:t>Sand</a:t>
          </a:r>
          <a:r>
            <a:rPr lang="en-US" sz="1200" baseline="0"/>
            <a:t> (0.075-4.75): </a:t>
          </a:r>
          <a:r>
            <a:rPr lang="en-US" sz="1200" b="1" baseline="0"/>
            <a:t>37.7%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4"/>
  <sheetViews>
    <sheetView tabSelected="1" workbookViewId="0">
      <selection activeCell="N8" sqref="N8"/>
    </sheetView>
  </sheetViews>
  <sheetFormatPr defaultRowHeight="15" x14ac:dyDescent="0.25"/>
  <cols>
    <col min="1" max="1" width="15.140625" customWidth="1"/>
    <col min="2" max="2" width="16.85546875" customWidth="1"/>
    <col min="3" max="3" width="20.28515625" customWidth="1"/>
    <col min="4" max="4" width="17" bestFit="1" customWidth="1"/>
    <col min="5" max="5" width="14" customWidth="1"/>
    <col min="6" max="6" width="5.5703125" bestFit="1" customWidth="1"/>
    <col min="7" max="7" width="33.140625" customWidth="1"/>
  </cols>
  <sheetData>
    <row r="2" spans="1:9" x14ac:dyDescent="0.25">
      <c r="A2" s="6" t="s">
        <v>0</v>
      </c>
      <c r="B2" s="6" t="s">
        <v>1</v>
      </c>
      <c r="C2" s="6" t="s">
        <v>18</v>
      </c>
      <c r="D2" s="3" t="s">
        <v>12</v>
      </c>
      <c r="E2" s="3" t="s">
        <v>13</v>
      </c>
      <c r="G2" s="1"/>
      <c r="H2" s="1"/>
    </row>
    <row r="3" spans="1:9" x14ac:dyDescent="0.25">
      <c r="A3" s="7" t="s">
        <v>2</v>
      </c>
      <c r="B3" s="7">
        <v>4.76</v>
      </c>
      <c r="C3" s="7">
        <v>0</v>
      </c>
      <c r="D3" s="2">
        <f>C3</f>
        <v>0</v>
      </c>
      <c r="E3" s="2">
        <f t="shared" ref="E3:E13" si="0">100-(D3/$C$14*100)</f>
        <v>100</v>
      </c>
      <c r="G3" s="7" t="s">
        <v>15</v>
      </c>
      <c r="H3" s="2">
        <v>6.3103773908112865E-2</v>
      </c>
    </row>
    <row r="4" spans="1:9" x14ac:dyDescent="0.25">
      <c r="A4" s="7" t="s">
        <v>3</v>
      </c>
      <c r="B4" s="7">
        <v>2</v>
      </c>
      <c r="C4" s="7">
        <v>0</v>
      </c>
      <c r="D4" s="2">
        <f t="shared" ref="D4:D13" si="1">D3+C4</f>
        <v>0</v>
      </c>
      <c r="E4" s="2">
        <f t="shared" si="0"/>
        <v>100</v>
      </c>
      <c r="G4" s="7" t="s">
        <v>16</v>
      </c>
      <c r="H4" s="2">
        <v>7.9437883851543323E-3</v>
      </c>
    </row>
    <row r="5" spans="1:9" x14ac:dyDescent="0.25">
      <c r="A5" s="7" t="s">
        <v>4</v>
      </c>
      <c r="B5" s="7">
        <v>0.84</v>
      </c>
      <c r="C5" s="7">
        <v>1.52</v>
      </c>
      <c r="D5" s="2">
        <f t="shared" si="1"/>
        <v>1.52</v>
      </c>
      <c r="E5" s="2">
        <f t="shared" si="0"/>
        <v>99.694913893460722</v>
      </c>
      <c r="G5" s="7" t="s">
        <v>17</v>
      </c>
      <c r="H5" s="2">
        <v>1.9953046843946172E-3</v>
      </c>
    </row>
    <row r="6" spans="1:9" x14ac:dyDescent="0.25">
      <c r="A6" s="7" t="s">
        <v>5</v>
      </c>
      <c r="B6" s="7">
        <v>0.59</v>
      </c>
      <c r="C6" s="7">
        <v>1.68</v>
      </c>
      <c r="D6" s="2">
        <f t="shared" si="1"/>
        <v>3.2</v>
      </c>
      <c r="E6" s="2">
        <f t="shared" si="0"/>
        <v>99.357713459917306</v>
      </c>
    </row>
    <row r="7" spans="1:9" x14ac:dyDescent="0.25">
      <c r="A7" s="7" t="s">
        <v>6</v>
      </c>
      <c r="B7" s="7">
        <v>0.42</v>
      </c>
      <c r="C7" s="7">
        <v>0.82</v>
      </c>
      <c r="D7" s="2">
        <f t="shared" si="1"/>
        <v>4.0200000000000005</v>
      </c>
      <c r="E7" s="2">
        <f t="shared" si="0"/>
        <v>99.193127534021116</v>
      </c>
      <c r="G7" s="7" t="s">
        <v>19</v>
      </c>
      <c r="H7" s="2">
        <f>H3/H5</f>
        <v>31.626134295003062</v>
      </c>
    </row>
    <row r="8" spans="1:9" x14ac:dyDescent="0.25">
      <c r="A8" s="7" t="s">
        <v>7</v>
      </c>
      <c r="B8" s="7">
        <v>0.29699999999999999</v>
      </c>
      <c r="C8" s="7">
        <v>1.96</v>
      </c>
      <c r="D8" s="2">
        <f t="shared" si="1"/>
        <v>5.98</v>
      </c>
      <c r="E8" s="2">
        <f t="shared" si="0"/>
        <v>98.79972702822046</v>
      </c>
      <c r="G8" s="8" t="s">
        <v>20</v>
      </c>
      <c r="H8" s="4">
        <f>(H4^2)/(H3*H5)</f>
        <v>0.5011765911347037</v>
      </c>
    </row>
    <row r="9" spans="1:9" x14ac:dyDescent="0.25">
      <c r="A9" s="7" t="s">
        <v>8</v>
      </c>
      <c r="B9" s="7">
        <v>0.25</v>
      </c>
      <c r="C9" s="7">
        <v>1.08</v>
      </c>
      <c r="D9" s="2">
        <f t="shared" si="1"/>
        <v>7.0600000000000005</v>
      </c>
      <c r="E9" s="2">
        <f t="shared" si="0"/>
        <v>98.58295532094256</v>
      </c>
      <c r="G9" s="10" t="s">
        <v>23</v>
      </c>
      <c r="H9" s="10">
        <v>4.3</v>
      </c>
      <c r="I9" t="s">
        <v>24</v>
      </c>
    </row>
    <row r="10" spans="1:9" x14ac:dyDescent="0.25">
      <c r="A10" s="7" t="s">
        <v>9</v>
      </c>
      <c r="B10" s="7">
        <v>0.17699999999999999</v>
      </c>
      <c r="C10" s="7">
        <v>17.68</v>
      </c>
      <c r="D10" s="2">
        <f t="shared" si="1"/>
        <v>24.740000000000002</v>
      </c>
      <c r="E10" s="2">
        <f t="shared" si="0"/>
        <v>95.034322186985662</v>
      </c>
    </row>
    <row r="11" spans="1:9" x14ac:dyDescent="0.25">
      <c r="A11" s="7" t="s">
        <v>10</v>
      </c>
      <c r="B11" s="7">
        <v>0.14899999999999999</v>
      </c>
      <c r="C11" s="7">
        <v>11</v>
      </c>
      <c r="D11" s="2">
        <f t="shared" si="1"/>
        <v>35.74</v>
      </c>
      <c r="E11" s="2">
        <f t="shared" si="0"/>
        <v>92.826462205451406</v>
      </c>
    </row>
    <row r="12" spans="1:9" x14ac:dyDescent="0.25">
      <c r="A12" s="7" t="s">
        <v>11</v>
      </c>
      <c r="B12" s="7">
        <v>7.3999999999999996E-2</v>
      </c>
      <c r="C12" s="7">
        <v>152.06</v>
      </c>
      <c r="D12" s="2">
        <f t="shared" si="1"/>
        <v>187.8</v>
      </c>
      <c r="E12" s="2">
        <f t="shared" si="0"/>
        <v>62.305808678896874</v>
      </c>
    </row>
    <row r="13" spans="1:9" x14ac:dyDescent="0.25">
      <c r="A13" s="7" t="s">
        <v>21</v>
      </c>
      <c r="B13" s="9" t="s">
        <v>22</v>
      </c>
      <c r="C13" s="7">
        <v>310.42</v>
      </c>
      <c r="D13" s="4">
        <f t="shared" si="1"/>
        <v>498.22</v>
      </c>
      <c r="E13" s="4">
        <f t="shared" si="0"/>
        <v>0</v>
      </c>
    </row>
    <row r="14" spans="1:9" x14ac:dyDescent="0.25">
      <c r="A14" s="5"/>
      <c r="B14" s="3" t="s">
        <v>14</v>
      </c>
      <c r="C14" s="3">
        <f>SUM(C3:C13)</f>
        <v>498.22</v>
      </c>
      <c r="D14" s="5"/>
      <c r="E14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Sieve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Nhu Y</dc:creator>
  <cp:lastModifiedBy>武宏山 (109624606)</cp:lastModifiedBy>
  <dcterms:created xsi:type="dcterms:W3CDTF">2026-05-15T09:54:41Z</dcterms:created>
  <dcterms:modified xsi:type="dcterms:W3CDTF">2026-05-16T08:22:23Z</dcterms:modified>
</cp:coreProperties>
</file>