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03_PRESENTATIONS\28_THI_NGHIEM_FAFALAB\2026_Sieve_Analysis_Test\Site_4\raw_data\"/>
    </mc:Choice>
  </mc:AlternateContent>
  <xr:revisionPtr revIDLastSave="0" documentId="13_ncr:1_{7A2E7620-32FB-48A3-A82B-AEC29ECD7B14}" xr6:coauthVersionLast="36" xr6:coauthVersionMax="47" xr10:uidLastSave="{00000000-0000-0000-0000-000000000000}"/>
  <bookViews>
    <workbookView xWindow="-28845" yWindow="2325" windowWidth="15045" windowHeight="13710" xr2:uid="{5BF2A230-63A3-40BF-983D-FF5C3C9A44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4" i="1"/>
  <c r="D14" i="1"/>
  <c r="D5" i="1"/>
  <c r="D6" i="1"/>
  <c r="D7" i="1"/>
  <c r="D8" i="1"/>
  <c r="D9" i="1"/>
  <c r="D10" i="1"/>
  <c r="D11" i="1"/>
  <c r="D12" i="1"/>
  <c r="D13" i="1"/>
  <c r="D4" i="1"/>
</calcChain>
</file>

<file path=xl/sharedStrings.xml><?xml version="1.0" encoding="utf-8"?>
<sst xmlns="http://schemas.openxmlformats.org/spreadsheetml/2006/main" count="6" uniqueCount="6">
  <si>
    <t>No.</t>
  </si>
  <si>
    <t>bottom</t>
  </si>
  <si>
    <t>Sample weight 500.02g</t>
  </si>
  <si>
    <t>Mass of Sieve</t>
  </si>
  <si>
    <t>Mass of Sieve+sample</t>
  </si>
  <si>
    <t>Sample 4-9-10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</si>
</sst>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94E5-B87E-4AC5-80D0-53DDDC8B8279}">
  <dimension ref="A1:E14"/>
  <sheetViews>
    <sheetView tabSelected="1" topLeftCell="A2" zoomScale="235" zoomScaleNormal="235" workbookViewId="0">
      <selection activeCell="E4" sqref="E4:E13"/>
    </sheetView>
  </sheetViews>
  <sheetFormatPr defaultRowHeight="15" x14ac:dyDescent="0.25"/>
  <cols>
    <col min="2" max="2" width="13.140625" bestFit="1" customWidth="1"/>
    <col min="3" max="3" width="20.7109375" bestFit="1" customWidth="1"/>
  </cols>
  <sheetData>
    <row r="1" spans="1:5" x14ac:dyDescent="0.25">
      <c r="A1" s="2" t="s">
        <v>5</v>
      </c>
      <c r="B1" s="2"/>
      <c r="C1" s="2" t="s">
        <v>2</v>
      </c>
      <c r="D1" s="2"/>
      <c r="E1" s="2"/>
    </row>
    <row r="3" spans="1:5" x14ac:dyDescent="0.25">
      <c r="A3" t="s">
        <v>0</v>
      </c>
      <c r="B3" t="s">
        <v>3</v>
      </c>
      <c r="C3" t="s">
        <v>4</v>
      </c>
    </row>
    <row r="4" spans="1:5" x14ac:dyDescent="0.25">
      <c r="A4">
        <v>10</v>
      </c>
      <c r="B4" s="1">
        <v>310.18</v>
      </c>
      <c r="C4" s="1">
        <v>345.42</v>
      </c>
      <c r="D4" s="1">
        <f>C4-B4</f>
        <v>35.240000000000009</v>
      </c>
      <c r="E4">
        <f>ROUND((D4/$D$14)*100,2)</f>
        <v>7.06</v>
      </c>
    </row>
    <row r="5" spans="1:5" x14ac:dyDescent="0.25">
      <c r="A5">
        <v>20</v>
      </c>
      <c r="B5" s="1">
        <v>293.33999999999997</v>
      </c>
      <c r="C5" s="1">
        <v>402.44</v>
      </c>
      <c r="D5" s="1">
        <f t="shared" ref="D5:D13" si="0">C5-B5</f>
        <v>109.10000000000002</v>
      </c>
      <c r="E5">
        <f t="shared" ref="E5:E13" si="1">ROUND((D5/$D$14)*100,2)</f>
        <v>21.86</v>
      </c>
    </row>
    <row r="6" spans="1:5" x14ac:dyDescent="0.25">
      <c r="A6">
        <v>30</v>
      </c>
      <c r="B6" s="1">
        <v>315.48</v>
      </c>
      <c r="C6" s="1">
        <v>369.2</v>
      </c>
      <c r="D6" s="1">
        <f t="shared" si="0"/>
        <v>53.71999999999997</v>
      </c>
      <c r="E6">
        <f t="shared" si="1"/>
        <v>10.76</v>
      </c>
    </row>
    <row r="7" spans="1:5" x14ac:dyDescent="0.25">
      <c r="A7">
        <v>40</v>
      </c>
      <c r="B7" s="1">
        <v>281.54000000000002</v>
      </c>
      <c r="C7" s="1">
        <v>318.52</v>
      </c>
      <c r="D7" s="1">
        <f t="shared" si="0"/>
        <v>36.979999999999961</v>
      </c>
      <c r="E7">
        <f t="shared" si="1"/>
        <v>7.41</v>
      </c>
    </row>
    <row r="8" spans="1:5" x14ac:dyDescent="0.25">
      <c r="A8">
        <v>50</v>
      </c>
      <c r="B8" s="1">
        <v>342.06</v>
      </c>
      <c r="C8" s="1">
        <v>375.62</v>
      </c>
      <c r="D8" s="1">
        <f t="shared" si="0"/>
        <v>33.56</v>
      </c>
      <c r="E8">
        <f t="shared" si="1"/>
        <v>6.72</v>
      </c>
    </row>
    <row r="9" spans="1:5" x14ac:dyDescent="0.25">
      <c r="A9">
        <v>60</v>
      </c>
      <c r="B9" s="1">
        <v>331.1</v>
      </c>
      <c r="C9" s="1">
        <v>343.62</v>
      </c>
      <c r="D9" s="1">
        <f t="shared" si="0"/>
        <v>12.519999999999982</v>
      </c>
      <c r="E9">
        <f t="shared" si="1"/>
        <v>2.5099999999999998</v>
      </c>
    </row>
    <row r="10" spans="1:5" x14ac:dyDescent="0.25">
      <c r="A10">
        <v>80</v>
      </c>
      <c r="B10" s="1">
        <v>328.32</v>
      </c>
      <c r="C10" s="1">
        <v>355.4</v>
      </c>
      <c r="D10" s="1">
        <f t="shared" si="0"/>
        <v>27.079999999999984</v>
      </c>
      <c r="E10">
        <f t="shared" si="1"/>
        <v>5.43</v>
      </c>
    </row>
    <row r="11" spans="1:5" x14ac:dyDescent="0.25">
      <c r="A11">
        <v>100</v>
      </c>
      <c r="B11" s="1">
        <v>314.66000000000003</v>
      </c>
      <c r="C11" s="1">
        <v>330.2</v>
      </c>
      <c r="D11" s="1">
        <f t="shared" si="0"/>
        <v>15.539999999999964</v>
      </c>
      <c r="E11">
        <f t="shared" si="1"/>
        <v>3.11</v>
      </c>
    </row>
    <row r="12" spans="1:5" x14ac:dyDescent="0.25">
      <c r="A12">
        <v>200</v>
      </c>
      <c r="B12" s="1">
        <v>305.39999999999998</v>
      </c>
      <c r="C12" s="1">
        <v>350.34</v>
      </c>
      <c r="D12" s="1">
        <f t="shared" si="0"/>
        <v>44.94</v>
      </c>
      <c r="E12">
        <f t="shared" si="1"/>
        <v>9.01</v>
      </c>
    </row>
    <row r="13" spans="1:5" x14ac:dyDescent="0.25">
      <c r="A13" t="s">
        <v>1</v>
      </c>
      <c r="B13" s="1">
        <v>347.28</v>
      </c>
      <c r="C13" s="1">
        <v>477.64</v>
      </c>
      <c r="D13" s="1">
        <f t="shared" si="0"/>
        <v>130.36000000000001</v>
      </c>
      <c r="E13">
        <f t="shared" si="1"/>
        <v>26.12</v>
      </c>
    </row>
    <row r="14" spans="1:5" x14ac:dyDescent="0.25">
      <c r="D14" s="1">
        <f>SUM(D4:D13)</f>
        <v>499.03999999999991</v>
      </c>
    </row>
  </sheetData>
  <mergeCells count="2">
    <mergeCell ref="A1:B1"/>
    <mergeCell ref="C1:E1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Melinda Vu</dc:creator>
  <cp:lastModifiedBy>FAFALAB</cp:lastModifiedBy>
  <dcterms:created xsi:type="dcterms:W3CDTF">2026-05-21T08:32:21Z</dcterms:created>
  <dcterms:modified xsi:type="dcterms:W3CDTF">2026-08-09T07:52:53Z</dcterms:modified>
</cp:coreProperties>
</file>